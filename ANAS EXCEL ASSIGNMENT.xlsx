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activeTab="1"/>
  </bookViews>
  <sheets>
    <sheet name="Sheet2" sheetId="2" r:id="rId1"/>
    <sheet name="Sheet1" sheetId="1" r:id="rId2"/>
  </sheets>
  <definedNames>
    <definedName name="_xlnm._FilterDatabase" localSheetId="1" hidden="1">Sheet1!$A$1:$G$51</definedName>
  </definedNames>
  <calcPr calcId="162913"/>
  <pivotCaches>
    <pivotCache cacheId="7" r:id="rId3"/>
  </pivotCaches>
</workbook>
</file>

<file path=xl/calcChain.xml><?xml version="1.0" encoding="utf-8"?>
<calcChain xmlns="http://schemas.openxmlformats.org/spreadsheetml/2006/main">
  <c r="H2" i="1" l="1"/>
  <c r="D53" i="1"/>
  <c r="B5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sharedStrings.xml><?xml version="1.0" encoding="utf-8"?>
<sst xmlns="http://schemas.openxmlformats.org/spreadsheetml/2006/main" count="193" uniqueCount="98">
  <si>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</si>
  <si>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</si>
  <si>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</si>
  <si>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</si>
  <si>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</si>
  <si>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</si>
  <si>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</si>
  <si>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</si>
  <si>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</si>
  <si>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</si>
  <si>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</si>
  <si>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</si>
  <si>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</si>
  <si>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</si>
  <si>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</si>
  <si>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</si>
  <si>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</si>
  <si>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</si>
  <si>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</si>
  <si>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</si>
  <si>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</si>
  <si>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</si>
  <si>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</si>
  <si>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</si>
  <si>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</si>
  <si>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</si>
  <si>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</si>
  <si>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</si>
  <si>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</si>
  <si>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</si>
  <si>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</si>
  <si>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</si>
  <si>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</si>
  <si>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</si>
  <si>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</si>
  <si>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</si>
  <si>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</si>
  <si>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</si>
  <si>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</si>
  <si>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</si>
  <si>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</si>
  <si>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</si>
  <si>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</si>
  <si>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</si>
  <si>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</si>
  <si>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</si>
  <si>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</si>
  <si>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</si>
  <si>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</si>
  <si>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</si>
  <si>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</si>
  <si>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</si>
  <si>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</si>
  <si>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</si>
  <si>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</si>
  <si>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</si>
  <si>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</si>
  <si>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</si>
  <si>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</si>
  <si>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</si>
  <si>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</si>
  <si>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</si>
  <si>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</si>
  <si>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</si>
  <si>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</si>
  <si>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</si>
  <si>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</si>
  <si>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</si>
  <si>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</si>
  <si>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</si>
  <si>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</si>
  <si>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</si>
  <si>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</si>
  <si>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</si>
  <si>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</si>
  <si>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</si>
  <si>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</si>
  <si>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</si>
  <si>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</si>
  <si>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</si>
  <si>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</si>
  <si>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</si>
  <si>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</si>
  <si>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</si>
  <si>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</si>
  <si>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</si>
  <si>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</si>
  <si>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</si>
  <si>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</si>
  <si>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</si>
  <si>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</si>
  <si>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</si>
  <si>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CUSTOMER</t>
  </si>
  <si>
    <t>TOTAL SALES</t>
  </si>
  <si>
    <t>Notebook Sales in North region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</si>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</sst>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3" fillId="0" borderId="0" xfId="0" applyFont="1" applyAlignment="1"/>
    <xf numFmtId="0" fontId="2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[ANAS EXCEL ASSIGNMENT.xlsx]Sheet2!PivotTable1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3118</c:v>
                </c:pt>
                <c:pt idx="1">
                  <c:v>4941</c:v>
                </c:pt>
                <c:pt idx="2">
                  <c:v>4742</c:v>
                </c:pt>
                <c:pt idx="3">
                  <c:v>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A-4B7B-B6DD-C4F09324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01104"/>
        <c:axId val="127101520"/>
      </c:barChart>
      <c:catAx>
        <c:axId val="12710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1520"/>
        <c:crosses val="autoZero"/>
        <c:auto val="1"/>
        <c:lblAlgn val="ctr"/>
        <c:lblOffset val="100"/>
        <c:noMultiLvlLbl val="0"/>
      </c:catAx>
      <c:valAx>
        <c:axId val="12710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A-4CF5-A761-9D06690DC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92144"/>
        <c:axId val="124589648"/>
      </c:barChart>
      <c:catAx>
        <c:axId val="12459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9648"/>
        <c:crosses val="autoZero"/>
        <c:auto val="1"/>
        <c:lblAlgn val="ctr"/>
        <c:lblOffset val="100"/>
        <c:noMultiLvlLbl val="0"/>
      </c:catAx>
      <c:valAx>
        <c:axId val="1245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271462</xdr:colOff>
      <xdr:row>1</xdr:row>
      <xdr:rowOff>9525</xdr:rowOff>
    </xdr:from>
    <xdr:to>
      <xdr:col>9</xdr:col>
      <xdr:colOff>576262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47625</xdr:rowOff>
    </xdr:from>
    <xdr:to>
      <xdr:col>13</xdr:col>
      <xdr:colOff>247650</xdr:colOff>
      <xdr:row>13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95.258413194446" createdVersion="6" refreshedVersion="6" minRefreshableVersion="3" recordCount="50">
  <cacheSource type="worksheet">
    <worksheetSource ref="A1:H51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Amit Sharma"/>
    <x v="0"/>
    <s v="Notebook"/>
    <n v="10"/>
    <n v="50"/>
    <d v="2024-05-01T00:00:00"/>
    <n v="500"/>
  </r>
  <r>
    <n v="1002"/>
    <s v="Neha Verma"/>
    <x v="1"/>
    <s v="Pen"/>
    <n v="20"/>
    <n v="10"/>
    <d v="2024-06-01T00:00:00"/>
    <n v="200"/>
  </r>
  <r>
    <n v="1003"/>
    <s v="Rahul Singh"/>
    <x v="2"/>
    <s v="Marker"/>
    <n v="15"/>
    <n v="25"/>
    <d v="2024-07-01T00:00:00"/>
    <n v="375"/>
  </r>
  <r>
    <n v="1004"/>
    <s v="Pooja Mehta"/>
    <x v="3"/>
    <s v="Notebook"/>
    <n v="5"/>
    <n v="50"/>
    <d v="2024-08-01T00:00:00"/>
    <n v="250"/>
  </r>
  <r>
    <n v="1005"/>
    <s v="Ankit Jain"/>
    <x v="0"/>
    <s v="Pencil"/>
    <n v="30"/>
    <n v="5"/>
    <d v="2024-10-01T00:00:00"/>
    <n v="150"/>
  </r>
  <r>
    <n v="1006"/>
    <s v="Sneha Patel"/>
    <x v="1"/>
    <s v="Notebook"/>
    <n v="12"/>
    <n v="50"/>
    <d v="2024-11-01T00:00:00"/>
    <n v="600"/>
  </r>
  <r>
    <n v="1007"/>
    <s v="Vikas Gupta"/>
    <x v="2"/>
    <s v="Eraser"/>
    <n v="25"/>
    <n v="8"/>
    <s v="13-01-2024"/>
    <n v="200"/>
  </r>
  <r>
    <n v="1008"/>
    <s v="Meera Nair"/>
    <x v="3"/>
    <s v="Pen"/>
    <n v="18"/>
    <n v="10"/>
    <s v="15-01-2024"/>
    <n v="180"/>
  </r>
  <r>
    <n v="1009"/>
    <s v="Anjali Rao"/>
    <x v="0"/>
    <s v="Marker"/>
    <n v="22"/>
    <n v="25"/>
    <s v="17-01-2024"/>
    <n v="550"/>
  </r>
  <r>
    <n v="1010"/>
    <s v="Manoj Das"/>
    <x v="1"/>
    <s v="Notebook"/>
    <n v="8"/>
    <n v="50"/>
    <s v="18-01-2024"/>
    <n v="400"/>
  </r>
  <r>
    <n v="1011"/>
    <s v="Ritika Sen"/>
    <x v="2"/>
    <s v="Pencil"/>
    <n v="40"/>
    <n v="5"/>
    <s v="19-01-2024"/>
    <n v="200"/>
  </r>
  <r>
    <n v="1012"/>
    <s v="Karan Malhotra"/>
    <x v="3"/>
    <s v="Eraser"/>
    <n v="35"/>
    <n v="8"/>
    <s v="20-01-2024"/>
    <n v="280"/>
  </r>
  <r>
    <n v="1013"/>
    <s v="Aryan Joshi"/>
    <x v="0"/>
    <s v="Notebook"/>
    <n v="14"/>
    <n v="50"/>
    <s v="22-01-2024"/>
    <n v="700"/>
  </r>
  <r>
    <n v="1014"/>
    <s v="Divya Kapoor"/>
    <x v="1"/>
    <s v="Pen"/>
    <n v="28"/>
    <n v="10"/>
    <s v="23-01-2024"/>
    <n v="280"/>
  </r>
  <r>
    <n v="1015"/>
    <s v="Sahil Arora"/>
    <x v="2"/>
    <s v="Marker"/>
    <n v="12"/>
    <n v="25"/>
    <s v="24-01-2024"/>
    <n v="300"/>
  </r>
  <r>
    <n v="1016"/>
    <s v="Muskan Jain"/>
    <x v="3"/>
    <s v="Pencil"/>
    <n v="25"/>
    <n v="5"/>
    <s v="26-01-2024"/>
    <n v="125"/>
  </r>
  <r>
    <n v="1017"/>
    <s v="Rohan Gupta"/>
    <x v="0"/>
    <s v="Eraser"/>
    <n v="20"/>
    <n v="8"/>
    <s v="28-01-2024"/>
    <n v="160"/>
  </r>
  <r>
    <n v="1018"/>
    <s v="Nidhi Sharma"/>
    <x v="1"/>
    <s v="Notebook"/>
    <n v="10"/>
    <n v="50"/>
    <s v="29-01-2024"/>
    <n v="500"/>
  </r>
  <r>
    <n v="1019"/>
    <s v="Tarun Verma"/>
    <x v="2"/>
    <s v="Pen"/>
    <n v="15"/>
    <n v="10"/>
    <s v="30-01-2024"/>
    <n v="150"/>
  </r>
  <r>
    <n v="1020"/>
    <s v="Simran Kaur"/>
    <x v="3"/>
    <s v="Marker"/>
    <n v="18"/>
    <n v="25"/>
    <d v="2024-01-02T00:00:00"/>
    <n v="450"/>
  </r>
  <r>
    <n v="1021"/>
    <s v="Deepak Rao"/>
    <x v="0"/>
    <s v="Notebook"/>
    <n v="9"/>
    <n v="50"/>
    <d v="2024-02-02T00:00:00"/>
    <n v="450"/>
  </r>
  <r>
    <n v="1022"/>
    <s v="Payal Mehta"/>
    <x v="1"/>
    <s v="Pencil"/>
    <n v="35"/>
    <n v="5"/>
    <d v="2024-03-02T00:00:00"/>
    <n v="175"/>
  </r>
  <r>
    <n v="1023"/>
    <s v="Aditya Singh"/>
    <x v="2"/>
    <s v="Eraser"/>
    <n v="30"/>
    <n v="8"/>
    <d v="2024-04-02T00:00:00"/>
    <n v="240"/>
  </r>
  <r>
    <n v="1024"/>
    <s v="Shreya Nair"/>
    <x v="3"/>
    <s v="Notebook"/>
    <n v="11"/>
    <n v="50"/>
    <d v="2024-06-02T00:00:00"/>
    <n v="550"/>
  </r>
  <r>
    <n v="1025"/>
    <s v="Sanjay Kumar"/>
    <x v="0"/>
    <s v="Pen"/>
    <n v="14"/>
    <n v="10"/>
    <d v="2024-07-02T00:00:00"/>
    <n v="140"/>
  </r>
  <r>
    <n v="1026"/>
    <s v="Aarti Sharma"/>
    <x v="1"/>
    <s v="Marker"/>
    <n v="16"/>
    <n v="25"/>
    <d v="2024-08-02T00:00:00"/>
    <n v="400"/>
  </r>
  <r>
    <n v="1027"/>
    <s v="Rajesh Patel"/>
    <x v="2"/>
    <s v="Pencil"/>
    <n v="22"/>
    <n v="5"/>
    <d v="2024-09-02T00:00:00"/>
    <n v="110"/>
  </r>
  <r>
    <n v="1028"/>
    <s v="Preeti Joshi"/>
    <x v="3"/>
    <s v="Eraser"/>
    <n v="27"/>
    <n v="8"/>
    <d v="2024-10-02T00:00:00"/>
    <n v="216"/>
  </r>
  <r>
    <n v="1029"/>
    <s v="Anurag Mishra"/>
    <x v="0"/>
    <s v="Notebook"/>
    <n v="13"/>
    <n v="50"/>
    <d v="2024-12-02T00:00:00"/>
    <n v="650"/>
  </r>
  <r>
    <n v="1030"/>
    <s v="Sanya Kapoor"/>
    <x v="1"/>
    <s v="Pen"/>
    <n v="32"/>
    <n v="10"/>
    <s v="13-02-2024"/>
    <n v="320"/>
  </r>
  <r>
    <n v="1031"/>
    <s v="Harsh Yadav"/>
    <x v="2"/>
    <s v="Marker"/>
    <n v="10"/>
    <n v="25"/>
    <s v="14-02-2024"/>
    <n v="250"/>
  </r>
  <r>
    <n v="1032"/>
    <s v="Kajal Rani"/>
    <x v="3"/>
    <s v="Pencil"/>
    <n v="18"/>
    <n v="5"/>
    <s v="16-02-2024"/>
    <n v="90"/>
  </r>
  <r>
    <n v="1033"/>
    <s v="Varun Sharma"/>
    <x v="0"/>
    <s v="Eraser"/>
    <n v="22"/>
    <n v="8"/>
    <s v="17-02-2024"/>
    <n v="176"/>
  </r>
  <r>
    <n v="1034"/>
    <s v="Swati Arora"/>
    <x v="1"/>
    <s v="Notebook"/>
    <n v="17"/>
    <n v="50"/>
    <s v="18-02-2024"/>
    <n v="850"/>
  </r>
  <r>
    <n v="1035"/>
    <s v="Akhil Jain"/>
    <x v="2"/>
    <s v="Pen"/>
    <n v="19"/>
    <n v="10"/>
    <s v="19-02-2024"/>
    <n v="190"/>
  </r>
  <r>
    <n v="1036"/>
    <s v="Priyanka Das"/>
    <x v="3"/>
    <s v="Marker"/>
    <n v="15"/>
    <n v="25"/>
    <s v="21-02-2024"/>
    <n v="375"/>
  </r>
  <r>
    <n v="1037"/>
    <s v="Ravi Nair"/>
    <x v="0"/>
    <s v="Pencil"/>
    <n v="28"/>
    <n v="5"/>
    <s v="22-02-2024"/>
    <n v="140"/>
  </r>
  <r>
    <n v="1038"/>
    <s v="Komal Singh"/>
    <x v="1"/>
    <s v="Eraser"/>
    <n v="24"/>
    <n v="8"/>
    <s v="23-02-2024"/>
    <n v="192"/>
  </r>
  <r>
    <n v="1039"/>
    <s v="Ayesha Khan"/>
    <x v="2"/>
    <s v="Notebook"/>
    <n v="16"/>
    <n v="50"/>
    <s v="25-02-2024"/>
    <n v="800"/>
  </r>
  <r>
    <n v="1040"/>
    <s v="Arjun Mehta"/>
    <x v="3"/>
    <s v="Pen"/>
    <n v="27"/>
    <n v="10"/>
    <s v="26-02-2024"/>
    <n v="270"/>
  </r>
  <r>
    <n v="1041"/>
    <s v="Sonali Gupta"/>
    <x v="0"/>
    <s v="Marker"/>
    <n v="21"/>
    <n v="25"/>
    <s v="27-02-2024"/>
    <n v="525"/>
  </r>
  <r>
    <n v="1042"/>
    <s v="Neeraj Kapoor"/>
    <x v="1"/>
    <s v="Pencil"/>
    <n v="30"/>
    <n v="5"/>
    <s v="28-02-2024"/>
    <n v="150"/>
  </r>
  <r>
    <n v="1043"/>
    <s v="Shruti Sharma"/>
    <x v="2"/>
    <s v="Eraser"/>
    <n v="26"/>
    <n v="8"/>
    <d v="2024-01-03T00:00:00"/>
    <n v="208"/>
  </r>
  <r>
    <n v="1044"/>
    <s v="Yash Arora"/>
    <x v="3"/>
    <s v="Notebook"/>
    <n v="14"/>
    <n v="50"/>
    <d v="2024-02-03T00:00:00"/>
    <n v="700"/>
  </r>
  <r>
    <n v="1045"/>
    <s v="Manish Das"/>
    <x v="0"/>
    <s v="Pen"/>
    <n v="20"/>
    <n v="10"/>
    <d v="2024-03-03T00:00:00"/>
    <n v="200"/>
  </r>
  <r>
    <n v="1046"/>
    <s v="Rupal Nair"/>
    <x v="1"/>
    <s v="Marker"/>
    <n v="17"/>
    <n v="25"/>
    <d v="2024-04-03T00:00:00"/>
    <n v="425"/>
  </r>
  <r>
    <n v="1047"/>
    <s v="Sonia Verma"/>
    <x v="2"/>
    <s v="Pencil"/>
    <n v="19"/>
    <n v="5"/>
    <d v="2024-05-03T00:00:00"/>
    <n v="95"/>
  </r>
  <r>
    <n v="1048"/>
    <s v="Kunal Singh"/>
    <x v="3"/>
    <s v="Eraser"/>
    <n v="32"/>
    <n v="8"/>
    <d v="2024-06-03T00:00:00"/>
    <n v="256"/>
  </r>
  <r>
    <n v="1049"/>
    <s v="Ritika Jain"/>
    <x v="0"/>
    <s v="Notebook"/>
    <n v="12"/>
    <n v="50"/>
    <d v="2024-07-03T00:00:00"/>
    <n v="600"/>
  </r>
  <r>
    <n v="1050"/>
    <s v="Vivek Malhotra"/>
    <x v="1"/>
    <s v="Pen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8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:B8"/>
    </sheetView>
  </sheetViews>
  <sheetFormatPr defaultRowHeight="12.75" x14ac:dyDescent="0.2"/>
  <cols>
    <col min="1" max="1" width="13.85546875" bestFit="1" customWidth="1"/>
    <col min="2" max="2" width="21.140625" bestFit="1" customWidth="1"/>
  </cols>
  <sheetData>
    <row r="3" spans="1:2" x14ac:dyDescent="0.2">
      <c r="A3" s="7" t="s">
        <v>95</v>
      </c>
      <c r="B3" t="s">
        <v>97</v>
      </c>
    </row>
    <row r="4" spans="1:2" x14ac:dyDescent="0.2">
      <c r="A4" s="8" t="s">
        <v>14</v>
      </c>
      <c r="B4" s="9">
        <v>3118</v>
      </c>
    </row>
    <row r="5" spans="1:2" x14ac:dyDescent="0.2">
      <c r="A5" s="8" t="s">
        <v>8</v>
      </c>
      <c r="B5" s="9">
        <v>4941</v>
      </c>
    </row>
    <row r="6" spans="1:2" x14ac:dyDescent="0.2">
      <c r="A6" s="8" t="s">
        <v>11</v>
      </c>
      <c r="B6" s="9">
        <v>4742</v>
      </c>
    </row>
    <row r="7" spans="1:2" x14ac:dyDescent="0.2">
      <c r="A7" s="8" t="s">
        <v>17</v>
      </c>
      <c r="B7" s="9">
        <v>3742</v>
      </c>
    </row>
    <row r="8" spans="1:2" x14ac:dyDescent="0.2">
      <c r="A8" s="8" t="s">
        <v>96</v>
      </c>
      <c r="B8" s="9">
        <v>16543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3"/>
  <sheetViews>
    <sheetView tabSelected="1" zoomScaleNormal="100" workbookViewId="0">
      <selection activeCell="J15" sqref="J15"/>
    </sheetView>
  </sheetViews>
  <sheetFormatPr defaultColWidth="12.5703125" defaultRowHeight="15.75" customHeight="1" x14ac:dyDescent="0.2"/>
  <cols>
    <col min="1" max="1" width="16.85546875" bestFit="1" customWidth="1"/>
    <col min="3" max="3" width="29.28515625" bestFit="1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93</v>
      </c>
    </row>
    <row r="2" spans="1:8" ht="15.75" customHeight="1" x14ac:dyDescent="0.25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>
        <f>E2*F2</f>
        <v>500</v>
      </c>
    </row>
    <row r="3" spans="1:8" ht="15.75" customHeight="1" x14ac:dyDescent="0.25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5">
        <f t="shared" ref="H3:H51" si="0">E3*F3</f>
        <v>200</v>
      </c>
    </row>
    <row r="4" spans="1:8" ht="15.75" customHeight="1" x14ac:dyDescent="0.25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>
        <f t="shared" si="0"/>
        <v>375</v>
      </c>
    </row>
    <row r="5" spans="1:8" ht="15.75" customHeight="1" x14ac:dyDescent="0.25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5">
        <f t="shared" si="0"/>
        <v>250</v>
      </c>
    </row>
    <row r="6" spans="1:8" ht="15.75" customHeight="1" x14ac:dyDescent="0.25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5">
        <f t="shared" si="0"/>
        <v>150</v>
      </c>
    </row>
    <row r="7" spans="1:8" ht="15.75" customHeight="1" x14ac:dyDescent="0.25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5">
        <f t="shared" si="0"/>
        <v>600</v>
      </c>
    </row>
    <row r="8" spans="1:8" ht="15.75" customHeight="1" x14ac:dyDescent="0.25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5">
        <f t="shared" si="0"/>
        <v>200</v>
      </c>
    </row>
    <row r="9" spans="1:8" ht="15.75" customHeight="1" x14ac:dyDescent="0.25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5">
        <f t="shared" si="0"/>
        <v>180</v>
      </c>
    </row>
    <row r="10" spans="1:8" ht="15.75" customHeight="1" x14ac:dyDescent="0.25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5">
        <f t="shared" si="0"/>
        <v>550</v>
      </c>
    </row>
    <row r="11" spans="1:8" ht="15.75" customHeight="1" x14ac:dyDescent="0.25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5">
        <f t="shared" si="0"/>
        <v>400</v>
      </c>
    </row>
    <row r="12" spans="1:8" ht="15.75" customHeight="1" x14ac:dyDescent="0.25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5">
        <f t="shared" si="0"/>
        <v>200</v>
      </c>
    </row>
    <row r="13" spans="1:8" ht="15.75" customHeight="1" x14ac:dyDescent="0.25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5">
        <f t="shared" si="0"/>
        <v>280</v>
      </c>
    </row>
    <row r="14" spans="1:8" ht="15.75" customHeight="1" x14ac:dyDescent="0.25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5">
        <f t="shared" si="0"/>
        <v>700</v>
      </c>
    </row>
    <row r="15" spans="1:8" ht="15.75" customHeight="1" x14ac:dyDescent="0.25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5">
        <f t="shared" si="0"/>
        <v>280</v>
      </c>
    </row>
    <row r="16" spans="1:8" ht="15.75" customHeight="1" x14ac:dyDescent="0.25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5">
        <f t="shared" si="0"/>
        <v>300</v>
      </c>
    </row>
    <row r="17" spans="1:8" ht="15.75" customHeight="1" x14ac:dyDescent="0.25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5">
        <f t="shared" si="0"/>
        <v>125</v>
      </c>
    </row>
    <row r="18" spans="1:8" ht="15.75" customHeight="1" x14ac:dyDescent="0.25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5">
        <f t="shared" si="0"/>
        <v>160</v>
      </c>
    </row>
    <row r="19" spans="1:8" ht="15.75" customHeight="1" x14ac:dyDescent="0.25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5">
        <f t="shared" si="0"/>
        <v>500</v>
      </c>
    </row>
    <row r="20" spans="1:8" ht="15.75" customHeight="1" x14ac:dyDescent="0.25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5">
        <f t="shared" si="0"/>
        <v>150</v>
      </c>
    </row>
    <row r="21" spans="1:8" ht="15.75" customHeight="1" x14ac:dyDescent="0.25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5">
        <f t="shared" si="0"/>
        <v>450</v>
      </c>
    </row>
    <row r="22" spans="1:8" ht="15.75" customHeight="1" x14ac:dyDescent="0.25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5">
        <f t="shared" si="0"/>
        <v>450</v>
      </c>
    </row>
    <row r="23" spans="1:8" ht="15.75" customHeight="1" x14ac:dyDescent="0.25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5">
        <f t="shared" si="0"/>
        <v>175</v>
      </c>
    </row>
    <row r="24" spans="1:8" ht="15" x14ac:dyDescent="0.25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5">
        <f t="shared" si="0"/>
        <v>240</v>
      </c>
    </row>
    <row r="25" spans="1:8" ht="15" x14ac:dyDescent="0.25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5">
        <f t="shared" si="0"/>
        <v>550</v>
      </c>
    </row>
    <row r="26" spans="1:8" ht="15" x14ac:dyDescent="0.25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5">
        <f t="shared" si="0"/>
        <v>140</v>
      </c>
    </row>
    <row r="27" spans="1:8" ht="15" x14ac:dyDescent="0.25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5">
        <f t="shared" si="0"/>
        <v>400</v>
      </c>
    </row>
    <row r="28" spans="1:8" ht="15" x14ac:dyDescent="0.25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5">
        <f t="shared" si="0"/>
        <v>110</v>
      </c>
    </row>
    <row r="29" spans="1:8" ht="15" x14ac:dyDescent="0.25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5">
        <f t="shared" si="0"/>
        <v>216</v>
      </c>
    </row>
    <row r="30" spans="1:8" ht="15" x14ac:dyDescent="0.25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5">
        <f t="shared" si="0"/>
        <v>650</v>
      </c>
    </row>
    <row r="31" spans="1:8" ht="15" x14ac:dyDescent="0.25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5">
        <f t="shared" si="0"/>
        <v>320</v>
      </c>
    </row>
    <row r="32" spans="1:8" ht="15" x14ac:dyDescent="0.25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5">
        <f t="shared" si="0"/>
        <v>250</v>
      </c>
    </row>
    <row r="33" spans="1:8" ht="15" x14ac:dyDescent="0.25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5">
        <f t="shared" si="0"/>
        <v>90</v>
      </c>
    </row>
    <row r="34" spans="1:8" ht="15" x14ac:dyDescent="0.25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5">
        <f t="shared" si="0"/>
        <v>176</v>
      </c>
    </row>
    <row r="35" spans="1:8" ht="15" x14ac:dyDescent="0.25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5">
        <f t="shared" si="0"/>
        <v>850</v>
      </c>
    </row>
    <row r="36" spans="1:8" ht="15" x14ac:dyDescent="0.25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5">
        <f t="shared" si="0"/>
        <v>190</v>
      </c>
    </row>
    <row r="37" spans="1:8" ht="15" x14ac:dyDescent="0.25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5">
        <f t="shared" si="0"/>
        <v>375</v>
      </c>
    </row>
    <row r="38" spans="1:8" ht="15" x14ac:dyDescent="0.25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5">
        <f t="shared" si="0"/>
        <v>140</v>
      </c>
    </row>
    <row r="39" spans="1:8" ht="15" x14ac:dyDescent="0.25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5">
        <f t="shared" si="0"/>
        <v>192</v>
      </c>
    </row>
    <row r="40" spans="1:8" ht="15" x14ac:dyDescent="0.25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5">
        <f t="shared" si="0"/>
        <v>800</v>
      </c>
    </row>
    <row r="41" spans="1:8" ht="15" x14ac:dyDescent="0.25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5">
        <f t="shared" si="0"/>
        <v>270</v>
      </c>
    </row>
    <row r="42" spans="1:8" ht="15" x14ac:dyDescent="0.25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5">
        <f t="shared" si="0"/>
        <v>525</v>
      </c>
    </row>
    <row r="43" spans="1:8" ht="15" x14ac:dyDescent="0.25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5">
        <f t="shared" si="0"/>
        <v>150</v>
      </c>
    </row>
    <row r="44" spans="1:8" ht="15" x14ac:dyDescent="0.25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5">
        <f t="shared" si="0"/>
        <v>208</v>
      </c>
    </row>
    <row r="45" spans="1:8" ht="15" x14ac:dyDescent="0.25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5">
        <f t="shared" si="0"/>
        <v>700</v>
      </c>
    </row>
    <row r="46" spans="1:8" ht="15" x14ac:dyDescent="0.25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5">
        <f t="shared" si="0"/>
        <v>200</v>
      </c>
    </row>
    <row r="47" spans="1:8" ht="15" x14ac:dyDescent="0.25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5">
        <f t="shared" si="0"/>
        <v>425</v>
      </c>
    </row>
    <row r="48" spans="1:8" ht="15" x14ac:dyDescent="0.25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5">
        <f t="shared" si="0"/>
        <v>95</v>
      </c>
    </row>
    <row r="49" spans="1:8" ht="15" x14ac:dyDescent="0.25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5">
        <f t="shared" si="0"/>
        <v>256</v>
      </c>
    </row>
    <row r="50" spans="1:8" ht="15" x14ac:dyDescent="0.25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5">
        <f t="shared" si="0"/>
        <v>600</v>
      </c>
    </row>
    <row r="51" spans="1:8" ht="15" x14ac:dyDescent="0.25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5">
        <f t="shared" si="0"/>
        <v>250</v>
      </c>
    </row>
    <row r="52" spans="1:8" ht="15" x14ac:dyDescent="0.25">
      <c r="A52" s="6" t="s">
        <v>92</v>
      </c>
      <c r="B52" s="6">
        <f>COUNTA(B2:B51)</f>
        <v>50</v>
      </c>
      <c r="C52" s="6"/>
      <c r="D52" s="6"/>
      <c r="E52" s="6"/>
      <c r="F52" s="6"/>
      <c r="G52" s="6"/>
    </row>
    <row r="53" spans="1:8" ht="15" x14ac:dyDescent="0.25">
      <c r="A53" s="6"/>
      <c r="B53" s="6"/>
      <c r="C53" s="6" t="s">
        <v>94</v>
      </c>
      <c r="D53" s="6">
        <f>SUMIFS(H2:H51, C2:C51, "NORTH", D2:D51, "NOTEBOOK")</f>
        <v>2900</v>
      </c>
      <c r="E53" s="6"/>
      <c r="F53" s="6"/>
      <c r="G53" s="6"/>
    </row>
  </sheetData>
  <autoFilter ref="A1:G5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2026-03-14T01:13:20Z</dcterms:created>
  <dcterms:modified xsi:type="dcterms:W3CDTF">2026-03-14T01:13:21Z</dcterms:modified>
</cp:coreProperties>
</file>